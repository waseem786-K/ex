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A0ABE860-CD24-4B00-A341-1DE75156004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ADIAL OFFSET METHOD" sheetId="1" r:id="rId1"/>
    <sheet name="PERPENDICULAR OFFSET METH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5" i="1" l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<sst xmlns="http://schemas.openxmlformats.org/spreadsheetml/2006/main" count="8" uniqueCount="7">
  <si>
    <t>Data Give</t>
  </si>
  <si>
    <t>Radius</t>
  </si>
  <si>
    <t>Offset Distance</t>
  </si>
  <si>
    <t>Ox , Offset</t>
  </si>
  <si>
    <t>Perpendicular Offset Method</t>
  </si>
  <si>
    <t>Radial  Offset Method</t>
  </si>
  <si>
    <t>Ox,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</si>
</sst>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45603674540682"/>
          <c:y val="0.17171296296296296"/>
          <c:w val="0.78898840769903766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Radial Method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'RADIAL OFFSET METHOD'!$A$5:$A$44</c:f>
              <c:numCache>
                <c:formatCode>General</c:formatCode>
                <c:ptCount val="4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</c:numCache>
            </c:numRef>
          </c:xVal>
          <c:yVal>
            <c:numRef>
              <c:f>'RADIAL OFFSET METHOD'!$B$5:$B$44</c:f>
              <c:numCache>
                <c:formatCode>0.00</c:formatCode>
                <c:ptCount val="40"/>
                <c:pt idx="0">
                  <c:v>0.1110973970759801</c:v>
                </c:pt>
                <c:pt idx="1">
                  <c:v>0.44422518220829943</c:v>
                </c:pt>
                <c:pt idx="2">
                  <c:v>0.99889135118723971</c:v>
                </c:pt>
                <c:pt idx="3">
                  <c:v>1.7742799230607034</c:v>
                </c:pt>
                <c:pt idx="4">
                  <c:v>2.7692569068708508</c:v>
                </c:pt>
                <c:pt idx="5">
                  <c:v>3.982378512646676</c:v>
                </c:pt>
                <c:pt idx="6">
                  <c:v>5.4119014694280168</c:v>
                </c:pt>
                <c:pt idx="7">
                  <c:v>7.0557952810575557</c:v>
                </c:pt>
                <c:pt idx="8">
                  <c:v>8.9117562233506078</c:v>
                </c:pt>
                <c:pt idx="9">
                  <c:v>10.977222864644375</c:v>
                </c:pt>
                <c:pt idx="10">
                  <c:v>13.24939287601876</c:v>
                </c:pt>
                <c:pt idx="11">
                  <c:v>15.725240887800737</c:v>
                </c:pt>
                <c:pt idx="12">
                  <c:v>18.401537145214775</c:v>
                </c:pt>
                <c:pt idx="13">
                  <c:v>21.274866717927125</c:v>
                </c:pt>
                <c:pt idx="14">
                  <c:v>24.341649025256913</c:v>
                </c:pt>
                <c:pt idx="15">
                  <c:v>27.598157450382132</c:v>
                </c:pt>
                <c:pt idx="16">
                  <c:v>31.040538832227753</c:v>
                </c:pt>
                <c:pt idx="17">
                  <c:v>34.664832642105353</c:v>
                </c:pt>
                <c:pt idx="18">
                  <c:v>38.466989672792522</c:v>
                </c:pt>
                <c:pt idx="19">
                  <c:v>42.442890089805246</c:v>
                </c:pt>
                <c:pt idx="20">
                  <c:v>46.588360717405465</c:v>
                </c:pt>
                <c:pt idx="21">
                  <c:v>50.89919145472777</c:v>
                </c:pt>
                <c:pt idx="22">
                  <c:v>55.371150739731092</c:v>
                </c:pt>
                <c:pt idx="23">
                  <c:v>60</c:v>
                </c:pt>
                <c:pt idx="24">
                  <c:v>64.781507049350012</c:v>
                </c:pt>
                <c:pt idx="25">
                  <c:v>69.711458407451346</c:v>
                </c:pt>
                <c:pt idx="26">
                  <c:v>74.785670536077077</c:v>
                </c:pt>
                <c:pt idx="27">
                  <c:v>80</c:v>
                </c:pt>
                <c:pt idx="28">
                  <c:v>85.350352572966926</c:v>
                </c:pt>
                <c:pt idx="29">
                  <c:v>90.832691319598439</c:v>
                </c:pt>
                <c:pt idx="30">
                  <c:v>96.443043692570086</c:v>
                </c:pt>
                <c:pt idx="31">
                  <c:v>102.17750769114093</c:v>
                </c:pt>
                <c:pt idx="32">
                  <c:v>108.03225713214817</c:v>
                </c:pt>
                <c:pt idx="33">
                  <c:v>114.00354608814291</c:v>
                </c:pt>
                <c:pt idx="34">
                  <c:v>120.08771254956901</c:v>
                </c:pt>
                <c:pt idx="35">
                  <c:v>126.28118136895637</c:v>
                </c:pt>
                <c:pt idx="36">
                  <c:v>132.58046654518034</c:v>
                </c:pt>
                <c:pt idx="37">
                  <c:v>138.98217290508887</c:v>
                </c:pt>
                <c:pt idx="38">
                  <c:v>145.48299723837624</c:v>
                </c:pt>
                <c:pt idx="39">
                  <c:v>152.07972893961482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F4-4190-9CAE-EF8181D8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424928"/>
        <c:axId val="734995344"/>
      </c:scatterChart>
      <c:valAx>
        <c:axId val="73542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Offset</a:t>
                </a:r>
                <a:r>
                  <a:rPr lang="en-IN" baseline="0">
                    <a:solidFill>
                      <a:schemeClr val="bg1"/>
                    </a:solidFill>
                  </a:rPr>
                  <a:t> Distance - x</a:t>
                </a:r>
                <a:endParaRPr lang="en-IN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95344"/>
        <c:crosses val="autoZero"/>
        <c:crossBetween val="midCat"/>
      </c:valAx>
      <c:valAx>
        <c:axId val="734995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Offset</a:t>
                </a:r>
                <a:r>
                  <a:rPr lang="en-IN" baseline="0">
                    <a:solidFill>
                      <a:schemeClr val="bg1"/>
                    </a:solidFill>
                  </a:rPr>
                  <a:t> - Ox</a:t>
                </a:r>
                <a:endParaRPr lang="en-IN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24928"/>
        <c:crosses val="autoZero"/>
        <c:crossBetween val="midCat"/>
      </c:valAx>
      <c:spPr>
        <a:solidFill>
          <a:schemeClr val="tx1"/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tx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Perpendicular Offset Method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'PERPENDICULAR OFFSET METHOD'!$A$4:$A$43</c:f>
              <c:numCache>
                <c:formatCode>General</c:formatCode>
                <c:ptCount val="4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</c:numCache>
            </c:numRef>
          </c:xVal>
          <c:yVal>
            <c:numRef>
              <c:f>'PERPENDICULAR OFFSET METHOD'!$B$4:$B$43</c:f>
              <c:numCache>
                <c:formatCode>0.00</c:formatCode>
                <c:ptCount val="40"/>
                <c:pt idx="0">
                  <c:v>0.11112483192027867</c:v>
                </c:pt>
                <c:pt idx="1">
                  <c:v>0.44466414021957235</c:v>
                </c:pt>
                <c:pt idx="2">
                  <c:v>1.0011135871270085</c:v>
                </c:pt>
                <c:pt idx="3">
                  <c:v>1.7813033797006028</c:v>
                </c:pt>
                <c:pt idx="4">
                  <c:v>2.7864045000420674</c:v>
                </c:pt>
                <c:pt idx="5">
                  <c:v>4.0179375804448227</c:v>
                </c:pt>
                <c:pt idx="6">
                  <c:v>5.4777845821426467</c:v>
                </c:pt>
                <c:pt idx="7">
                  <c:v>7.1682034903094518</c:v>
                </c:pt>
                <c:pt idx="8">
                  <c:v>9.0918462990279636</c:v>
                </c:pt>
                <c:pt idx="9">
                  <c:v>11.25178063039391</c:v>
                </c:pt>
                <c:pt idx="10">
                  <c:v>13.651515414571406</c:v>
                </c:pt>
                <c:pt idx="11">
                  <c:v>16.295031155971174</c:v>
                </c:pt>
                <c:pt idx="12">
                  <c:v>19.186815429239687</c:v>
                </c:pt>
                <c:pt idx="13">
                  <c:v>22.331904393138075</c:v>
                </c:pt>
                <c:pt idx="14">
                  <c:v>25.73593128807147</c:v>
                </c:pt>
                <c:pt idx="15">
                  <c:v>29.405183103738182</c:v>
                </c:pt>
                <c:pt idx="16">
                  <c:v>33.346666880006808</c:v>
                </c:pt>
                <c:pt idx="17">
                  <c:v>37.568187453974417</c:v>
                </c:pt>
                <c:pt idx="18">
                  <c:v>42.078438912577212</c:v>
                </c:pt>
                <c:pt idx="19">
                  <c:v>46.887112585072543</c:v>
                </c:pt>
                <c:pt idx="20">
                  <c:v>52.005025157352009</c:v>
                </c:pt>
                <c:pt idx="21">
                  <c:v>57.444271472189541</c:v>
                </c:pt>
                <c:pt idx="22">
                  <c:v>63.218407883725661</c:v>
                </c:pt>
                <c:pt idx="23">
                  <c:v>69.34267378651441</c:v>
                </c:pt>
                <c:pt idx="24">
                  <c:v>75.834261322605869</c:v>
                </c:pt>
                <c:pt idx="25">
                  <c:v>82.712646555860829</c:v>
                </c:pt>
                <c:pt idx="26">
                  <c:v>90</c:v>
                </c:pt>
                <c:pt idx="27">
                  <c:v>97.721700923829246</c:v>
                </c:pt>
                <c:pt idx="28">
                  <c:v>105.9069893182949</c:v>
                </c:pt>
                <c:pt idx="29">
                  <c:v>114.58980337503152</c:v>
                </c:pt>
                <c:pt idx="30">
                  <c:v>123.80987139399821</c:v>
                </c:pt>
                <c:pt idx="31">
                  <c:v>133.61415960887251</c:v>
                </c:pt>
                <c:pt idx="32">
                  <c:v>144.05882918443291</c:v>
                </c:pt>
                <c:pt idx="33">
                  <c:v>155.21194054032651</c:v>
                </c:pt>
                <c:pt idx="34">
                  <c:v>167.15728752538098</c:v>
                </c:pt>
                <c:pt idx="35">
                  <c:v>180</c:v>
                </c:pt>
                <c:pt idx="36">
                  <c:v>193.87503050268606</c:v>
                </c:pt>
                <c:pt idx="37">
                  <c:v>208.96058413612101</c:v>
                </c:pt>
                <c:pt idx="38">
                  <c:v>225.5005567935635</c:v>
                </c:pt>
                <c:pt idx="39">
                  <c:v>243.84471871911697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5-4608-835D-AF3026E3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940288"/>
        <c:axId val="646941536"/>
      </c:scatterChart>
      <c:valAx>
        <c:axId val="64694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Offset</a:t>
                </a:r>
                <a:r>
                  <a:rPr lang="en-IN" baseline="0"/>
                  <a:t> distance - x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41536"/>
        <c:crosses val="autoZero"/>
        <c:crossBetween val="midCat"/>
      </c:valAx>
      <c:valAx>
        <c:axId val="6469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baseline="0">
                    <a:effectLst/>
                  </a:rPr>
                  <a:t>Offset - Ox</a:t>
                </a:r>
                <a:endParaRPr lang="en-IN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4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</xdr:row>
      <xdr:rowOff>104775</xdr:rowOff>
    </xdr:from>
    <xdr:to>
      <xdr:col>9</xdr:col>
      <xdr:colOff>47625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5</xdr:row>
      <xdr:rowOff>133350</xdr:rowOff>
    </xdr:from>
    <xdr:to>
      <xdr:col>9</xdr:col>
      <xdr:colOff>600075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98" zoomScaleNormal="98" workbookViewId="0">
      <selection activeCell="M11" sqref="M11"/>
    </sheetView>
  </sheetViews>
  <sheetFormatPr defaultRowHeight="15" x14ac:dyDescent="0.25"/>
  <cols>
    <col min="1" max="1" width="14.7109375" style="2" bestFit="1" customWidth="1"/>
    <col min="2" max="2" width="10.42578125" style="2" bestFit="1" customWidth="1"/>
    <col min="3" max="3" width="10.42578125" style="2" customWidth="1"/>
    <col min="4" max="4" width="18" style="2" customWidth="1"/>
    <col min="5" max="5" width="10.5703125" style="3" bestFit="1" customWidth="1"/>
    <col min="6" max="16384" width="9.140625" style="2"/>
  </cols>
  <sheetData>
    <row r="1" spans="1:3" x14ac:dyDescent="0.25">
      <c r="A1" s="1" t="s">
        <v>0</v>
      </c>
    </row>
    <row r="2" spans="1:3" x14ac:dyDescent="0.25">
      <c r="A2" s="2" t="s">
        <v>1</v>
      </c>
      <c r="B2" s="2">
        <v>450</v>
      </c>
    </row>
    <row r="3" spans="1:3" x14ac:dyDescent="0.25">
      <c r="A3" s="8" t="s">
        <v>5</v>
      </c>
      <c r="B3" s="8"/>
      <c r="C3" s="1"/>
    </row>
    <row r="4" spans="1:3" x14ac:dyDescent="0.25">
      <c r="A4" s="4" t="s">
        <v>2</v>
      </c>
      <c r="B4" s="4" t="s">
        <v>3</v>
      </c>
      <c r="C4" s="1"/>
    </row>
    <row r="5" spans="1:3" x14ac:dyDescent="0.25">
      <c r="A5" s="5">
        <v>10</v>
      </c>
      <c r="B5" s="6">
        <f>SQRT(($B$2^2)+($A5^2))-$B$2</f>
        <v>0.1110973970759801</v>
      </c>
      <c r="C5" s="3"/>
    </row>
    <row r="6" spans="1:3" x14ac:dyDescent="0.25">
      <c r="A6" s="5">
        <v>20</v>
      </c>
      <c r="B6" s="6">
        <f t="shared" ref="B6:B44" si="0">SQRT(($B$2^2)+($A6^2))-$B$2</f>
        <v>0.44422518220829943</v>
      </c>
      <c r="C6" s="3"/>
    </row>
    <row r="7" spans="1:3" x14ac:dyDescent="0.25">
      <c r="A7" s="5">
        <v>30</v>
      </c>
      <c r="B7" s="6">
        <f t="shared" si="0"/>
        <v>0.99889135118723971</v>
      </c>
      <c r="C7" s="3"/>
    </row>
    <row r="8" spans="1:3" x14ac:dyDescent="0.25">
      <c r="A8" s="5">
        <v>40</v>
      </c>
      <c r="B8" s="6">
        <f t="shared" si="0"/>
        <v>1.7742799230607034</v>
      </c>
      <c r="C8" s="3"/>
    </row>
    <row r="9" spans="1:3" x14ac:dyDescent="0.25">
      <c r="A9" s="5">
        <v>50</v>
      </c>
      <c r="B9" s="6">
        <f t="shared" si="0"/>
        <v>2.7692569068708508</v>
      </c>
      <c r="C9" s="3"/>
    </row>
    <row r="10" spans="1:3" x14ac:dyDescent="0.25">
      <c r="A10" s="5">
        <v>60</v>
      </c>
      <c r="B10" s="6">
        <f t="shared" si="0"/>
        <v>3.982378512646676</v>
      </c>
      <c r="C10" s="3"/>
    </row>
    <row r="11" spans="1:3" x14ac:dyDescent="0.25">
      <c r="A11" s="5">
        <v>70</v>
      </c>
      <c r="B11" s="6">
        <f t="shared" si="0"/>
        <v>5.4119014694280168</v>
      </c>
      <c r="C11" s="3"/>
    </row>
    <row r="12" spans="1:3" x14ac:dyDescent="0.25">
      <c r="A12" s="5">
        <v>80</v>
      </c>
      <c r="B12" s="6">
        <f t="shared" si="0"/>
        <v>7.0557952810575557</v>
      </c>
      <c r="C12" s="3"/>
    </row>
    <row r="13" spans="1:3" x14ac:dyDescent="0.25">
      <c r="A13" s="5">
        <v>90</v>
      </c>
      <c r="B13" s="6">
        <f t="shared" si="0"/>
        <v>8.9117562233506078</v>
      </c>
      <c r="C13" s="3"/>
    </row>
    <row r="14" spans="1:3" x14ac:dyDescent="0.25">
      <c r="A14" s="5">
        <v>100</v>
      </c>
      <c r="B14" s="6">
        <f t="shared" si="0"/>
        <v>10.977222864644375</v>
      </c>
      <c r="C14" s="3"/>
    </row>
    <row r="15" spans="1:3" x14ac:dyDescent="0.25">
      <c r="A15" s="5">
        <v>110</v>
      </c>
      <c r="B15" s="6">
        <f t="shared" si="0"/>
        <v>13.24939287601876</v>
      </c>
      <c r="C15" s="3"/>
    </row>
    <row r="16" spans="1:3" x14ac:dyDescent="0.25">
      <c r="A16" s="5">
        <v>120</v>
      </c>
      <c r="B16" s="6">
        <f t="shared" si="0"/>
        <v>15.725240887800737</v>
      </c>
      <c r="C16" s="3"/>
    </row>
    <row r="17" spans="1:3" x14ac:dyDescent="0.25">
      <c r="A17" s="5">
        <v>130</v>
      </c>
      <c r="B17" s="6">
        <f t="shared" si="0"/>
        <v>18.401537145214775</v>
      </c>
      <c r="C17" s="3"/>
    </row>
    <row r="18" spans="1:3" x14ac:dyDescent="0.25">
      <c r="A18" s="5">
        <v>140</v>
      </c>
      <c r="B18" s="6">
        <f t="shared" si="0"/>
        <v>21.274866717927125</v>
      </c>
      <c r="C18" s="3"/>
    </row>
    <row r="19" spans="1:3" x14ac:dyDescent="0.25">
      <c r="A19" s="5">
        <v>150</v>
      </c>
      <c r="B19" s="6">
        <f t="shared" si="0"/>
        <v>24.341649025256913</v>
      </c>
      <c r="C19" s="3"/>
    </row>
    <row r="20" spans="1:3" x14ac:dyDescent="0.25">
      <c r="A20" s="5">
        <v>160</v>
      </c>
      <c r="B20" s="6">
        <f t="shared" si="0"/>
        <v>27.598157450382132</v>
      </c>
      <c r="C20" s="3"/>
    </row>
    <row r="21" spans="1:3" x14ac:dyDescent="0.25">
      <c r="A21" s="5">
        <v>170</v>
      </c>
      <c r="B21" s="6">
        <f t="shared" si="0"/>
        <v>31.040538832227753</v>
      </c>
      <c r="C21" s="3"/>
    </row>
    <row r="22" spans="1:3" x14ac:dyDescent="0.25">
      <c r="A22" s="5">
        <v>180</v>
      </c>
      <c r="B22" s="6">
        <f t="shared" si="0"/>
        <v>34.664832642105353</v>
      </c>
      <c r="C22" s="3"/>
    </row>
    <row r="23" spans="1:3" x14ac:dyDescent="0.25">
      <c r="A23" s="5">
        <v>190</v>
      </c>
      <c r="B23" s="6">
        <f t="shared" si="0"/>
        <v>38.466989672792522</v>
      </c>
      <c r="C23" s="3"/>
    </row>
    <row r="24" spans="1:3" x14ac:dyDescent="0.25">
      <c r="A24" s="5">
        <v>200</v>
      </c>
      <c r="B24" s="6">
        <f t="shared" si="0"/>
        <v>42.442890089805246</v>
      </c>
      <c r="C24" s="3"/>
    </row>
    <row r="25" spans="1:3" x14ac:dyDescent="0.25">
      <c r="A25" s="5">
        <v>210</v>
      </c>
      <c r="B25" s="6">
        <f t="shared" si="0"/>
        <v>46.588360717405465</v>
      </c>
      <c r="C25" s="3"/>
    </row>
    <row r="26" spans="1:3" x14ac:dyDescent="0.25">
      <c r="A26" s="5">
        <v>220</v>
      </c>
      <c r="B26" s="6">
        <f t="shared" si="0"/>
        <v>50.89919145472777</v>
      </c>
      <c r="C26" s="3"/>
    </row>
    <row r="27" spans="1:3" x14ac:dyDescent="0.25">
      <c r="A27" s="5">
        <v>230</v>
      </c>
      <c r="B27" s="6">
        <f t="shared" si="0"/>
        <v>55.371150739731092</v>
      </c>
      <c r="C27" s="3"/>
    </row>
    <row r="28" spans="1:3" x14ac:dyDescent="0.25">
      <c r="A28" s="5">
        <v>240</v>
      </c>
      <c r="B28" s="6">
        <f t="shared" si="0"/>
        <v>60</v>
      </c>
      <c r="C28" s="3"/>
    </row>
    <row r="29" spans="1:3" x14ac:dyDescent="0.25">
      <c r="A29" s="5">
        <v>250</v>
      </c>
      <c r="B29" s="6">
        <f t="shared" si="0"/>
        <v>64.781507049350012</v>
      </c>
      <c r="C29" s="3"/>
    </row>
    <row r="30" spans="1:3" x14ac:dyDescent="0.25">
      <c r="A30" s="5">
        <v>260</v>
      </c>
      <c r="B30" s="6">
        <f t="shared" si="0"/>
        <v>69.711458407451346</v>
      </c>
      <c r="C30" s="3"/>
    </row>
    <row r="31" spans="1:3" x14ac:dyDescent="0.25">
      <c r="A31" s="5">
        <v>270</v>
      </c>
      <c r="B31" s="6">
        <f t="shared" si="0"/>
        <v>74.785670536077077</v>
      </c>
      <c r="C31" s="3"/>
    </row>
    <row r="32" spans="1:3" x14ac:dyDescent="0.25">
      <c r="A32" s="5">
        <v>280</v>
      </c>
      <c r="B32" s="6">
        <f t="shared" si="0"/>
        <v>80</v>
      </c>
      <c r="C32" s="3"/>
    </row>
    <row r="33" spans="1:3" x14ac:dyDescent="0.25">
      <c r="A33" s="5">
        <v>290</v>
      </c>
      <c r="B33" s="6">
        <f t="shared" si="0"/>
        <v>85.350352572966926</v>
      </c>
      <c r="C33" s="3"/>
    </row>
    <row r="34" spans="1:3" x14ac:dyDescent="0.25">
      <c r="A34" s="5">
        <v>300</v>
      </c>
      <c r="B34" s="6">
        <f t="shared" si="0"/>
        <v>90.832691319598439</v>
      </c>
      <c r="C34" s="3"/>
    </row>
    <row r="35" spans="1:3" x14ac:dyDescent="0.25">
      <c r="A35" s="5">
        <v>310</v>
      </c>
      <c r="B35" s="6">
        <f t="shared" si="0"/>
        <v>96.443043692570086</v>
      </c>
      <c r="C35" s="3"/>
    </row>
    <row r="36" spans="1:3" x14ac:dyDescent="0.25">
      <c r="A36" s="5">
        <v>320</v>
      </c>
      <c r="B36" s="6">
        <f t="shared" si="0"/>
        <v>102.17750769114093</v>
      </c>
      <c r="C36" s="3"/>
    </row>
    <row r="37" spans="1:3" x14ac:dyDescent="0.25">
      <c r="A37" s="5">
        <v>330</v>
      </c>
      <c r="B37" s="6">
        <f t="shared" si="0"/>
        <v>108.03225713214817</v>
      </c>
      <c r="C37" s="3"/>
    </row>
    <row r="38" spans="1:3" x14ac:dyDescent="0.25">
      <c r="A38" s="5">
        <v>340</v>
      </c>
      <c r="B38" s="6">
        <f t="shared" si="0"/>
        <v>114.00354608814291</v>
      </c>
      <c r="C38" s="3"/>
    </row>
    <row r="39" spans="1:3" x14ac:dyDescent="0.25">
      <c r="A39" s="5">
        <v>350</v>
      </c>
      <c r="B39" s="6">
        <f t="shared" si="0"/>
        <v>120.08771254956901</v>
      </c>
      <c r="C39" s="3"/>
    </row>
    <row r="40" spans="1:3" x14ac:dyDescent="0.25">
      <c r="A40" s="5">
        <v>360</v>
      </c>
      <c r="B40" s="6">
        <f t="shared" si="0"/>
        <v>126.28118136895637</v>
      </c>
      <c r="C40" s="3"/>
    </row>
    <row r="41" spans="1:3" x14ac:dyDescent="0.25">
      <c r="A41" s="5">
        <v>370</v>
      </c>
      <c r="B41" s="6">
        <f t="shared" si="0"/>
        <v>132.58046654518034</v>
      </c>
      <c r="C41" s="3"/>
    </row>
    <row r="42" spans="1:3" x14ac:dyDescent="0.25">
      <c r="A42" s="5">
        <v>380</v>
      </c>
      <c r="B42" s="6">
        <f t="shared" si="0"/>
        <v>138.98217290508887</v>
      </c>
      <c r="C42" s="3"/>
    </row>
    <row r="43" spans="1:3" x14ac:dyDescent="0.25">
      <c r="A43" s="5">
        <v>390</v>
      </c>
      <c r="B43" s="6">
        <f t="shared" si="0"/>
        <v>145.48299723837624</v>
      </c>
      <c r="C43" s="3"/>
    </row>
    <row r="44" spans="1:3" x14ac:dyDescent="0.25">
      <c r="A44" s="5">
        <v>400</v>
      </c>
      <c r="B44" s="6">
        <f t="shared" si="0"/>
        <v>152.07972893961482</v>
      </c>
      <c r="C44" s="3"/>
    </row>
  </sheetData>
  <mergeCells count="1">
    <mergeCell ref="A3:B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3"/>
  <sheetViews>
    <sheetView workbookViewId="0">
      <selection activeCell="N27" sqref="N27"/>
    </sheetView>
  </sheetViews>
  <sheetFormatPr defaultRowHeight="15" x14ac:dyDescent="0.25"/>
  <cols>
    <col min="1" max="1" width="14.7109375" bestFit="1" customWidth="1"/>
    <col min="2" max="2" width="18.42578125" customWidth="1"/>
  </cols>
  <sheetData>
    <row r="2" spans="1:2" x14ac:dyDescent="0.25">
      <c r="A2" s="8" t="s">
        <v>4</v>
      </c>
      <c r="B2" s="8"/>
    </row>
    <row r="3" spans="1:2" x14ac:dyDescent="0.25">
      <c r="A3" s="4" t="s">
        <v>2</v>
      </c>
      <c r="B3" s="7" t="s">
        <v>6</v>
      </c>
    </row>
    <row r="4" spans="1:2" x14ac:dyDescent="0.25">
      <c r="A4" s="5">
        <v>10</v>
      </c>
      <c r="B4" s="6">
        <f>'RADIAL OFFSET METHOD'!$B$2-SQRT(('RADIAL OFFSET METHOD'!$B$2^2)-($A4^2))</f>
        <v>0.11112483192027867</v>
      </c>
    </row>
    <row r="5" spans="1:2" x14ac:dyDescent="0.25">
      <c r="A5" s="5">
        <v>20</v>
      </c>
      <c r="B5" s="6">
        <f>'RADIAL OFFSET METHOD'!$B$2-SQRT(('RADIAL OFFSET METHOD'!$B$2^2)-($A5^2))</f>
        <v>0.44466414021957235</v>
      </c>
    </row>
    <row r="6" spans="1:2" x14ac:dyDescent="0.25">
      <c r="A6" s="5">
        <v>30</v>
      </c>
      <c r="B6" s="6">
        <f>'RADIAL OFFSET METHOD'!$B$2-SQRT(('RADIAL OFFSET METHOD'!$B$2^2)-($A6^2))</f>
        <v>1.0011135871270085</v>
      </c>
    </row>
    <row r="7" spans="1:2" x14ac:dyDescent="0.25">
      <c r="A7" s="5">
        <v>40</v>
      </c>
      <c r="B7" s="6">
        <f>'RADIAL OFFSET METHOD'!$B$2-SQRT(('RADIAL OFFSET METHOD'!$B$2^2)-($A7^2))</f>
        <v>1.7813033797006028</v>
      </c>
    </row>
    <row r="8" spans="1:2" x14ac:dyDescent="0.25">
      <c r="A8" s="5">
        <v>50</v>
      </c>
      <c r="B8" s="6">
        <f>'RADIAL OFFSET METHOD'!$B$2-SQRT(('RADIAL OFFSET METHOD'!$B$2^2)-($A8^2))</f>
        <v>2.7864045000420674</v>
      </c>
    </row>
    <row r="9" spans="1:2" x14ac:dyDescent="0.25">
      <c r="A9" s="5">
        <v>60</v>
      </c>
      <c r="B9" s="6">
        <f>'RADIAL OFFSET METHOD'!$B$2-SQRT(('RADIAL OFFSET METHOD'!$B$2^2)-($A9^2))</f>
        <v>4.0179375804448227</v>
      </c>
    </row>
    <row r="10" spans="1:2" x14ac:dyDescent="0.25">
      <c r="A10" s="5">
        <v>70</v>
      </c>
      <c r="B10" s="6">
        <f>'RADIAL OFFSET METHOD'!$B$2-SQRT(('RADIAL OFFSET METHOD'!$B$2^2)-($A10^2))</f>
        <v>5.4777845821426467</v>
      </c>
    </row>
    <row r="11" spans="1:2" x14ac:dyDescent="0.25">
      <c r="A11" s="5">
        <v>80</v>
      </c>
      <c r="B11" s="6">
        <f>'RADIAL OFFSET METHOD'!$B$2-SQRT(('RADIAL OFFSET METHOD'!$B$2^2)-($A11^2))</f>
        <v>7.1682034903094518</v>
      </c>
    </row>
    <row r="12" spans="1:2" x14ac:dyDescent="0.25">
      <c r="A12" s="5">
        <v>90</v>
      </c>
      <c r="B12" s="6">
        <f>'RADIAL OFFSET METHOD'!$B$2-SQRT(('RADIAL OFFSET METHOD'!$B$2^2)-($A12^2))</f>
        <v>9.0918462990279636</v>
      </c>
    </row>
    <row r="13" spans="1:2" x14ac:dyDescent="0.25">
      <c r="A13" s="5">
        <v>100</v>
      </c>
      <c r="B13" s="6">
        <f>'RADIAL OFFSET METHOD'!$B$2-SQRT(('RADIAL OFFSET METHOD'!$B$2^2)-($A13^2))</f>
        <v>11.25178063039391</v>
      </c>
    </row>
    <row r="14" spans="1:2" x14ac:dyDescent="0.25">
      <c r="A14" s="5">
        <v>110</v>
      </c>
      <c r="B14" s="6">
        <f>'RADIAL OFFSET METHOD'!$B$2-SQRT(('RADIAL OFFSET METHOD'!$B$2^2)-($A14^2))</f>
        <v>13.651515414571406</v>
      </c>
    </row>
    <row r="15" spans="1:2" x14ac:dyDescent="0.25">
      <c r="A15" s="5">
        <v>120</v>
      </c>
      <c r="B15" s="6">
        <f>'RADIAL OFFSET METHOD'!$B$2-SQRT(('RADIAL OFFSET METHOD'!$B$2^2)-($A15^2))</f>
        <v>16.295031155971174</v>
      </c>
    </row>
    <row r="16" spans="1:2" x14ac:dyDescent="0.25">
      <c r="A16" s="5">
        <v>130</v>
      </c>
      <c r="B16" s="6">
        <f>'RADIAL OFFSET METHOD'!$B$2-SQRT(('RADIAL OFFSET METHOD'!$B$2^2)-($A16^2))</f>
        <v>19.186815429239687</v>
      </c>
    </row>
    <row r="17" spans="1:2" x14ac:dyDescent="0.25">
      <c r="A17" s="5">
        <v>140</v>
      </c>
      <c r="B17" s="6">
        <f>'RADIAL OFFSET METHOD'!$B$2-SQRT(('RADIAL OFFSET METHOD'!$B$2^2)-($A17^2))</f>
        <v>22.331904393138075</v>
      </c>
    </row>
    <row r="18" spans="1:2" x14ac:dyDescent="0.25">
      <c r="A18" s="5">
        <v>150</v>
      </c>
      <c r="B18" s="6">
        <f>'RADIAL OFFSET METHOD'!$B$2-SQRT(('RADIAL OFFSET METHOD'!$B$2^2)-($A18^2))</f>
        <v>25.73593128807147</v>
      </c>
    </row>
    <row r="19" spans="1:2" x14ac:dyDescent="0.25">
      <c r="A19" s="5">
        <v>160</v>
      </c>
      <c r="B19" s="6">
        <f>'RADIAL OFFSET METHOD'!$B$2-SQRT(('RADIAL OFFSET METHOD'!$B$2^2)-($A19^2))</f>
        <v>29.405183103738182</v>
      </c>
    </row>
    <row r="20" spans="1:2" x14ac:dyDescent="0.25">
      <c r="A20" s="5">
        <v>170</v>
      </c>
      <c r="B20" s="6">
        <f>'RADIAL OFFSET METHOD'!$B$2-SQRT(('RADIAL OFFSET METHOD'!$B$2^2)-($A20^2))</f>
        <v>33.346666880006808</v>
      </c>
    </row>
    <row r="21" spans="1:2" x14ac:dyDescent="0.25">
      <c r="A21" s="5">
        <v>180</v>
      </c>
      <c r="B21" s="6">
        <f>'RADIAL OFFSET METHOD'!$B$2-SQRT(('RADIAL OFFSET METHOD'!$B$2^2)-($A21^2))</f>
        <v>37.568187453974417</v>
      </c>
    </row>
    <row r="22" spans="1:2" x14ac:dyDescent="0.25">
      <c r="A22" s="5">
        <v>190</v>
      </c>
      <c r="B22" s="6">
        <f>'RADIAL OFFSET METHOD'!$B$2-SQRT(('RADIAL OFFSET METHOD'!$B$2^2)-($A22^2))</f>
        <v>42.078438912577212</v>
      </c>
    </row>
    <row r="23" spans="1:2" x14ac:dyDescent="0.25">
      <c r="A23" s="5">
        <v>200</v>
      </c>
      <c r="B23" s="6">
        <f>'RADIAL OFFSET METHOD'!$B$2-SQRT(('RADIAL OFFSET METHOD'!$B$2^2)-($A23^2))</f>
        <v>46.887112585072543</v>
      </c>
    </row>
    <row r="24" spans="1:2" x14ac:dyDescent="0.25">
      <c r="A24" s="5">
        <v>210</v>
      </c>
      <c r="B24" s="6">
        <f>'RADIAL OFFSET METHOD'!$B$2-SQRT(('RADIAL OFFSET METHOD'!$B$2^2)-($A24^2))</f>
        <v>52.005025157352009</v>
      </c>
    </row>
    <row r="25" spans="1:2" x14ac:dyDescent="0.25">
      <c r="A25" s="5">
        <v>220</v>
      </c>
      <c r="B25" s="6">
        <f>'RADIAL OFFSET METHOD'!$B$2-SQRT(('RADIAL OFFSET METHOD'!$B$2^2)-($A25^2))</f>
        <v>57.444271472189541</v>
      </c>
    </row>
    <row r="26" spans="1:2" x14ac:dyDescent="0.25">
      <c r="A26" s="5">
        <v>230</v>
      </c>
      <c r="B26" s="6">
        <f>'RADIAL OFFSET METHOD'!$B$2-SQRT(('RADIAL OFFSET METHOD'!$B$2^2)-($A26^2))</f>
        <v>63.218407883725661</v>
      </c>
    </row>
    <row r="27" spans="1:2" x14ac:dyDescent="0.25">
      <c r="A27" s="5">
        <v>240</v>
      </c>
      <c r="B27" s="6">
        <f>'RADIAL OFFSET METHOD'!$B$2-SQRT(('RADIAL OFFSET METHOD'!$B$2^2)-($A27^2))</f>
        <v>69.34267378651441</v>
      </c>
    </row>
    <row r="28" spans="1:2" x14ac:dyDescent="0.25">
      <c r="A28" s="5">
        <v>250</v>
      </c>
      <c r="B28" s="6">
        <f>'RADIAL OFFSET METHOD'!$B$2-SQRT(('RADIAL OFFSET METHOD'!$B$2^2)-($A28^2))</f>
        <v>75.834261322605869</v>
      </c>
    </row>
    <row r="29" spans="1:2" x14ac:dyDescent="0.25">
      <c r="A29" s="5">
        <v>260</v>
      </c>
      <c r="B29" s="6">
        <f>'RADIAL OFFSET METHOD'!$B$2-SQRT(('RADIAL OFFSET METHOD'!$B$2^2)-($A29^2))</f>
        <v>82.712646555860829</v>
      </c>
    </row>
    <row r="30" spans="1:2" x14ac:dyDescent="0.25">
      <c r="A30" s="5">
        <v>270</v>
      </c>
      <c r="B30" s="6">
        <f>'RADIAL OFFSET METHOD'!$B$2-SQRT(('RADIAL OFFSET METHOD'!$B$2^2)-($A30^2))</f>
        <v>90</v>
      </c>
    </row>
    <row r="31" spans="1:2" x14ac:dyDescent="0.25">
      <c r="A31" s="5">
        <v>280</v>
      </c>
      <c r="B31" s="6">
        <f>'RADIAL OFFSET METHOD'!$B$2-SQRT(('RADIAL OFFSET METHOD'!$B$2^2)-($A31^2))</f>
        <v>97.721700923829246</v>
      </c>
    </row>
    <row r="32" spans="1:2" x14ac:dyDescent="0.25">
      <c r="A32" s="5">
        <v>290</v>
      </c>
      <c r="B32" s="6">
        <f>'RADIAL OFFSET METHOD'!$B$2-SQRT(('RADIAL OFFSET METHOD'!$B$2^2)-($A32^2))</f>
        <v>105.9069893182949</v>
      </c>
    </row>
    <row r="33" spans="1:2" x14ac:dyDescent="0.25">
      <c r="A33" s="5">
        <v>300</v>
      </c>
      <c r="B33" s="6">
        <f>'RADIAL OFFSET METHOD'!$B$2-SQRT(('RADIAL OFFSET METHOD'!$B$2^2)-($A33^2))</f>
        <v>114.58980337503152</v>
      </c>
    </row>
    <row r="34" spans="1:2" x14ac:dyDescent="0.25">
      <c r="A34" s="5">
        <v>310</v>
      </c>
      <c r="B34" s="6">
        <f>'RADIAL OFFSET METHOD'!$B$2-SQRT(('RADIAL OFFSET METHOD'!$B$2^2)-($A34^2))</f>
        <v>123.80987139399821</v>
      </c>
    </row>
    <row r="35" spans="1:2" x14ac:dyDescent="0.25">
      <c r="A35" s="5">
        <v>320</v>
      </c>
      <c r="B35" s="6">
        <f>'RADIAL OFFSET METHOD'!$B$2-SQRT(('RADIAL OFFSET METHOD'!$B$2^2)-($A35^2))</f>
        <v>133.61415960887251</v>
      </c>
    </row>
    <row r="36" spans="1:2" x14ac:dyDescent="0.25">
      <c r="A36" s="5">
        <v>330</v>
      </c>
      <c r="B36" s="6">
        <f>'RADIAL OFFSET METHOD'!$B$2-SQRT(('RADIAL OFFSET METHOD'!$B$2^2)-($A36^2))</f>
        <v>144.05882918443291</v>
      </c>
    </row>
    <row r="37" spans="1:2" x14ac:dyDescent="0.25">
      <c r="A37" s="5">
        <v>340</v>
      </c>
      <c r="B37" s="6">
        <f>'RADIAL OFFSET METHOD'!$B$2-SQRT(('RADIAL OFFSET METHOD'!$B$2^2)-($A37^2))</f>
        <v>155.21194054032651</v>
      </c>
    </row>
    <row r="38" spans="1:2" x14ac:dyDescent="0.25">
      <c r="A38" s="5">
        <v>350</v>
      </c>
      <c r="B38" s="6">
        <f>'RADIAL OFFSET METHOD'!$B$2-SQRT(('RADIAL OFFSET METHOD'!$B$2^2)-($A38^2))</f>
        <v>167.15728752538098</v>
      </c>
    </row>
    <row r="39" spans="1:2" x14ac:dyDescent="0.25">
      <c r="A39" s="5">
        <v>360</v>
      </c>
      <c r="B39" s="6">
        <f>'RADIAL OFFSET METHOD'!$B$2-SQRT(('RADIAL OFFSET METHOD'!$B$2^2)-($A39^2))</f>
        <v>180</v>
      </c>
    </row>
    <row r="40" spans="1:2" x14ac:dyDescent="0.25">
      <c r="A40" s="5">
        <v>370</v>
      </c>
      <c r="B40" s="6">
        <f>'RADIAL OFFSET METHOD'!$B$2-SQRT(('RADIAL OFFSET METHOD'!$B$2^2)-($A40^2))</f>
        <v>193.87503050268606</v>
      </c>
    </row>
    <row r="41" spans="1:2" x14ac:dyDescent="0.25">
      <c r="A41" s="5">
        <v>380</v>
      </c>
      <c r="B41" s="6">
        <f>'RADIAL OFFSET METHOD'!$B$2-SQRT(('RADIAL OFFSET METHOD'!$B$2^2)-($A41^2))</f>
        <v>208.96058413612101</v>
      </c>
    </row>
    <row r="42" spans="1:2" x14ac:dyDescent="0.25">
      <c r="A42" s="5">
        <v>390</v>
      </c>
      <c r="B42" s="6">
        <f>'RADIAL OFFSET METHOD'!$B$2-SQRT(('RADIAL OFFSET METHOD'!$B$2^2)-($A42^2))</f>
        <v>225.5005567935635</v>
      </c>
    </row>
    <row r="43" spans="1:2" x14ac:dyDescent="0.25">
      <c r="A43" s="5">
        <v>400</v>
      </c>
      <c r="B43" s="6">
        <f>'RADIAL OFFSET METHOD'!$B$2-SQRT(('RADIAL OFFSET METHOD'!$B$2^2)-($A43^2))</f>
        <v>243.84471871911697</v>
      </c>
    </row>
  </sheetData>
  <mergeCells count="1"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RADIAL OFFSET METHOD</vt:lpstr>
      <vt:lpstr>PERPENDICULAR OFFSET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LENOVO</cp:lastModifiedBy>
  <cp:lastPrinted>2025-10-27T05:00:29Z</cp:lastPrinted>
  <dcterms:created xsi:type="dcterms:W3CDTF">2025-10-27T03:48:06Z</dcterms:created>
  <dcterms:modified xsi:type="dcterms:W3CDTF">2025-12-10T14:17:47Z</dcterms:modified>
</cp:coreProperties>
</file>