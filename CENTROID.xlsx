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tanee\Downloads\"/>
    </mc:Choice>
  </mc:AlternateContent>
  <xr:revisionPtr revIDLastSave="0" documentId="13_ncr:1_{D2CAFF67-0D56-4E55-9EAA-C14B1E2A6102}" xr6:coauthVersionLast="47" xr6:coauthVersionMax="47" xr10:uidLastSave="{00000000-0000-0000-0000-000000000000}"/>
  <bookViews>
    <workbookView xWindow="-96" yWindow="0" windowWidth="11712" windowHeight="12336" activeTab="1" xr2:uid="{00000000-000D-0000-FFFF-FFFF00000000}"/>
  </bookViews>
  <sheets>
    <sheet name="MATRIX " sheetId="1" r:id="rId1"/>
    <sheet name="25 sep cg &amp; mi" sheetId="4" r:id="rId2"/>
    <sheet name="Sheet1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" i="4" l="1"/>
  <c r="G30" i="4"/>
  <c r="G31" i="4"/>
  <c r="G32" i="4"/>
  <c r="G28" i="4"/>
  <c r="D32" i="4"/>
  <c r="F29" i="4"/>
  <c r="F30" i="4"/>
  <c r="F31" i="4"/>
  <c r="F32" i="4"/>
  <c r="F28" i="4"/>
  <c r="E32" i="4"/>
  <c r="E31" i="4"/>
  <c r="D31" i="4"/>
  <c r="C32" i="4"/>
  <c r="C31" i="4"/>
  <c r="C30" i="4"/>
  <c r="C29" i="4"/>
  <c r="C28" i="4"/>
  <c r="F5" i="4"/>
  <c r="K4" i="4"/>
  <c r="C6" i="4"/>
  <c r="F6" i="4" s="1"/>
  <c r="H6" i="4" s="1"/>
  <c r="C7" i="4"/>
  <c r="K6" i="4"/>
  <c r="J6" i="4"/>
  <c r="C4" i="4"/>
  <c r="G4" i="4" s="1"/>
  <c r="I4" i="4" s="1"/>
  <c r="I7" i="4" s="1"/>
  <c r="D4" i="4"/>
  <c r="E4" i="4"/>
  <c r="J4" i="4"/>
  <c r="J7" i="4" s="1"/>
  <c r="I15" i="4" s="1"/>
  <c r="K7" i="4"/>
  <c r="H5" i="4"/>
  <c r="G5" i="4"/>
  <c r="I5" i="4" s="1"/>
  <c r="J5" i="4"/>
  <c r="K5" i="4"/>
  <c r="I53" i="1"/>
  <c r="H64" i="1" a="1"/>
  <c r="I66" i="1" s="1"/>
  <c r="M28" i="1" a="1"/>
  <c r="M29" i="1" s="1"/>
  <c r="M45" i="1" a="1"/>
  <c r="M46" i="1" s="1"/>
  <c r="M37" i="1" a="1"/>
  <c r="M38" i="1" s="1"/>
  <c r="M17" i="1" a="1"/>
  <c r="M19" i="1" s="1"/>
  <c r="M4" i="1" a="1"/>
  <c r="N4" i="1" s="1"/>
  <c r="C12" i="4" l="1"/>
  <c r="G6" i="4"/>
  <c r="I6" i="4" s="1"/>
  <c r="N28" i="1"/>
  <c r="F4" i="4"/>
  <c r="O37" i="1"/>
  <c r="O29" i="1"/>
  <c r="M37" i="1"/>
  <c r="O28" i="1"/>
  <c r="O47" i="1"/>
  <c r="M28" i="1"/>
  <c r="G7" i="4"/>
  <c r="I13" i="4" s="1"/>
  <c r="I18" i="4" s="1"/>
  <c r="N37" i="1"/>
  <c r="N29" i="1"/>
  <c r="N47" i="1"/>
  <c r="O45" i="1"/>
  <c r="O39" i="1"/>
  <c r="N45" i="1"/>
  <c r="N39" i="1"/>
  <c r="M39" i="1"/>
  <c r="O30" i="1"/>
  <c r="O38" i="1"/>
  <c r="N30" i="1"/>
  <c r="N38" i="1"/>
  <c r="M30" i="1"/>
  <c r="I64" i="1"/>
  <c r="H66" i="1"/>
  <c r="H64" i="1"/>
  <c r="J65" i="1"/>
  <c r="I65" i="1"/>
  <c r="H65" i="1"/>
  <c r="J66" i="1"/>
  <c r="J64" i="1"/>
  <c r="M47" i="1"/>
  <c r="M45" i="1"/>
  <c r="O46" i="1"/>
  <c r="N46" i="1"/>
  <c r="M17" i="1"/>
  <c r="N17" i="1"/>
  <c r="N19" i="1"/>
  <c r="O17" i="1"/>
  <c r="O19" i="1"/>
  <c r="M18" i="1"/>
  <c r="N18" i="1"/>
  <c r="O18" i="1"/>
  <c r="N5" i="1"/>
  <c r="M5" i="1"/>
  <c r="M6" i="1"/>
  <c r="M4" i="1"/>
  <c r="O5" i="1"/>
  <c r="O6" i="1"/>
  <c r="O4" i="1"/>
  <c r="N6" i="1"/>
  <c r="H4" i="4" l="1"/>
  <c r="H7" i="4" s="1"/>
  <c r="I16" i="4" s="1"/>
  <c r="I19" i="4" s="1"/>
  <c r="F7" i="4"/>
  <c r="I12" i="4" s="1"/>
</calcChain>
</file>

<file path=xl/sharedStrings.xml><?xml version="1.0" encoding="utf-8"?>
<sst xmlns="http://schemas.openxmlformats.org/spreadsheetml/2006/main" count="63" uniqueCount="39">
  <si>
    <t>ARRAY 2</t>
  </si>
  <si>
    <t>ARRAY1</t>
  </si>
  <si>
    <t>OUTUT</t>
  </si>
  <si>
    <t>CTRL + SHIFT + ENTER</t>
  </si>
  <si>
    <t>SUBSTRACTION</t>
  </si>
  <si>
    <t>ADDITION</t>
  </si>
  <si>
    <t>MULTIPLICATION</t>
  </si>
  <si>
    <t>TRANSPOSE</t>
  </si>
  <si>
    <t>DIVISION</t>
  </si>
  <si>
    <t>DIVIDE</t>
  </si>
  <si>
    <t>DETERMINANT</t>
  </si>
  <si>
    <t>INVERSE</t>
  </si>
  <si>
    <t>SECTION</t>
  </si>
  <si>
    <t>AREA</t>
  </si>
  <si>
    <t>X-Intercept</t>
  </si>
  <si>
    <t>Y-Intercept</t>
  </si>
  <si>
    <t>Ax</t>
  </si>
  <si>
    <t>Ay</t>
  </si>
  <si>
    <t>Ax^2</t>
  </si>
  <si>
    <t>Ay^2</t>
  </si>
  <si>
    <t>Ixx</t>
  </si>
  <si>
    <t>Iyy</t>
  </si>
  <si>
    <t>Triangle</t>
  </si>
  <si>
    <t>Rectangle</t>
  </si>
  <si>
    <t>Circle</t>
  </si>
  <si>
    <t>CENTROID</t>
  </si>
  <si>
    <t>X</t>
  </si>
  <si>
    <t>Y</t>
  </si>
  <si>
    <r>
      <t xml:space="preserve">I </t>
    </r>
    <r>
      <rPr>
        <sz val="8"/>
        <color theme="1"/>
        <rFont val="Calibri"/>
        <family val="2"/>
        <scheme val="minor"/>
      </rPr>
      <t>1-1</t>
    </r>
  </si>
  <si>
    <r>
      <t xml:space="preserve">I </t>
    </r>
    <r>
      <rPr>
        <sz val="8"/>
        <color theme="1"/>
        <rFont val="Calibri"/>
        <family val="2"/>
        <scheme val="minor"/>
      </rPr>
      <t>2-2</t>
    </r>
  </si>
  <si>
    <r>
      <t xml:space="preserve">I </t>
    </r>
    <r>
      <rPr>
        <sz val="8"/>
        <color theme="1"/>
        <rFont val="Calibri"/>
        <family val="2"/>
        <scheme val="minor"/>
      </rPr>
      <t>X-X</t>
    </r>
  </si>
  <si>
    <r>
      <t xml:space="preserve">I </t>
    </r>
    <r>
      <rPr>
        <sz val="8"/>
        <color theme="1"/>
        <rFont val="Calibri"/>
        <family val="2"/>
        <scheme val="minor"/>
      </rPr>
      <t>Y-Y</t>
    </r>
  </si>
  <si>
    <t>AS</t>
  </si>
  <si>
    <t>V</t>
  </si>
  <si>
    <t>REC 1</t>
  </si>
  <si>
    <t>REC 2</t>
  </si>
  <si>
    <t>REC 3</t>
  </si>
  <si>
    <t>TRI L</t>
  </si>
  <si>
    <t>TRI 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</si>
</sst>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0" borderId="0" xfId="0" applyFont="1"/>
    <xf numFmtId="2" fontId="0" fillId="0" borderId="1" xfId="0" applyNumberFormat="1" applyBorder="1"/>
    <xf numFmtId="1" fontId="0" fillId="0" borderId="0" xfId="0" applyNumberFormat="1"/>
    <xf numFmtId="0" fontId="0" fillId="3" borderId="1" xfId="0" applyFill="1" applyBorder="1"/>
    <xf numFmtId="1" fontId="0" fillId="0" borderId="1" xfId="0" applyNumberFormat="1" applyBorder="1"/>
    <xf numFmtId="0" fontId="0" fillId="2" borderId="1" xfId="0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142875</xdr:colOff>
      <xdr:row>8</xdr:row>
      <xdr:rowOff>19050</xdr:rowOff>
    </xdr:from>
    <xdr:to>
      <xdr:col>17</xdr:col>
      <xdr:colOff>334004</xdr:colOff>
      <xdr:row>23</xdr:row>
      <xdr:rowOff>28975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474C73-007F-A706-EACD-4690F73E2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1543050"/>
          <a:ext cx="4515480" cy="2867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AB66"/>
  <sheetViews>
    <sheetView topLeftCell="A19" workbookViewId="0">
      <selection activeCell="R61" sqref="R61"/>
    </sheetView>
  </sheetViews>
  <sheetFormatPr defaultRowHeight="14.4" x14ac:dyDescent="0.3"/>
  <sheetData>
    <row r="1" spans="3:28" x14ac:dyDescent="0.3">
      <c r="F1" s="8" t="s">
        <v>5</v>
      </c>
      <c r="G1" s="8"/>
      <c r="H1" s="8"/>
      <c r="I1" s="8"/>
      <c r="J1" s="8"/>
      <c r="K1" s="8"/>
      <c r="L1" s="8"/>
    </row>
    <row r="3" spans="3:28" x14ac:dyDescent="0.3">
      <c r="C3" s="7" t="s">
        <v>1</v>
      </c>
      <c r="D3" s="7"/>
      <c r="E3" s="7"/>
      <c r="H3" s="7" t="s">
        <v>0</v>
      </c>
      <c r="I3" s="7"/>
      <c r="J3" s="7"/>
      <c r="M3" s="7" t="s">
        <v>2</v>
      </c>
      <c r="N3" s="7"/>
      <c r="O3" s="7"/>
      <c r="Z3" s="12"/>
      <c r="AA3" s="12"/>
      <c r="AB3" s="12"/>
    </row>
    <row r="4" spans="3:28" x14ac:dyDescent="0.3">
      <c r="C4" s="1">
        <v>15</v>
      </c>
      <c r="D4" s="1">
        <v>16</v>
      </c>
      <c r="E4" s="1">
        <v>17</v>
      </c>
      <c r="H4" s="1">
        <v>15</v>
      </c>
      <c r="I4" s="1">
        <v>2</v>
      </c>
      <c r="J4" s="1">
        <v>36</v>
      </c>
      <c r="M4" s="1">
        <f t="array" ref="M4:O6">(C4:E6+H4:J6)</f>
        <v>30</v>
      </c>
      <c r="N4" s="1">
        <v>18</v>
      </c>
      <c r="O4" s="1">
        <v>53</v>
      </c>
    </row>
    <row r="5" spans="3:28" x14ac:dyDescent="0.3">
      <c r="C5" s="1">
        <v>18</v>
      </c>
      <c r="D5" s="1">
        <v>33</v>
      </c>
      <c r="E5" s="1">
        <v>12</v>
      </c>
      <c r="H5" s="1">
        <v>3</v>
      </c>
      <c r="I5" s="1">
        <v>24</v>
      </c>
      <c r="J5" s="1">
        <v>11</v>
      </c>
      <c r="M5" s="1">
        <v>21</v>
      </c>
      <c r="N5" s="1">
        <v>57</v>
      </c>
      <c r="O5" s="1">
        <v>23</v>
      </c>
    </row>
    <row r="6" spans="3:28" x14ac:dyDescent="0.3">
      <c r="C6" s="1">
        <v>11</v>
      </c>
      <c r="D6" s="1">
        <v>10</v>
      </c>
      <c r="E6" s="1">
        <v>55</v>
      </c>
      <c r="H6" s="1">
        <v>6</v>
      </c>
      <c r="I6" s="1">
        <v>24</v>
      </c>
      <c r="J6" s="1">
        <v>16</v>
      </c>
      <c r="M6" s="1">
        <v>17</v>
      </c>
      <c r="N6" s="1">
        <v>34</v>
      </c>
      <c r="O6" s="1">
        <v>71</v>
      </c>
    </row>
    <row r="10" spans="3:28" x14ac:dyDescent="0.3">
      <c r="H10" t="s">
        <v>3</v>
      </c>
    </row>
    <row r="13" spans="3:28" x14ac:dyDescent="0.3">
      <c r="G13" s="8" t="s">
        <v>4</v>
      </c>
      <c r="H13" s="8"/>
      <c r="I13" s="8"/>
      <c r="J13" s="8"/>
      <c r="K13" s="8"/>
      <c r="L13" s="8"/>
    </row>
    <row r="16" spans="3:28" x14ac:dyDescent="0.3">
      <c r="C16" s="9" t="s">
        <v>1</v>
      </c>
      <c r="D16" s="10"/>
      <c r="E16" s="11"/>
      <c r="H16" s="9" t="s">
        <v>0</v>
      </c>
      <c r="I16" s="10"/>
      <c r="J16" s="11"/>
      <c r="M16" s="9" t="s">
        <v>4</v>
      </c>
      <c r="N16" s="10"/>
      <c r="O16" s="11"/>
    </row>
    <row r="17" spans="3:15" x14ac:dyDescent="0.3">
      <c r="C17" s="1">
        <v>15</v>
      </c>
      <c r="D17" s="1">
        <v>16</v>
      </c>
      <c r="E17" s="1">
        <v>17</v>
      </c>
      <c r="H17" s="1">
        <v>15</v>
      </c>
      <c r="I17" s="1">
        <v>2</v>
      </c>
      <c r="J17" s="1">
        <v>36</v>
      </c>
      <c r="M17" s="1">
        <f t="array" ref="M17:O19">(C17:E19-H17:J19)</f>
        <v>0</v>
      </c>
      <c r="N17" s="1">
        <v>14</v>
      </c>
      <c r="O17" s="1">
        <v>-19</v>
      </c>
    </row>
    <row r="18" spans="3:15" x14ac:dyDescent="0.3">
      <c r="C18" s="1">
        <v>18</v>
      </c>
      <c r="D18" s="1">
        <v>33</v>
      </c>
      <c r="E18" s="1">
        <v>12</v>
      </c>
      <c r="H18" s="1">
        <v>3</v>
      </c>
      <c r="I18" s="1">
        <v>24</v>
      </c>
      <c r="J18" s="1">
        <v>11</v>
      </c>
      <c r="M18" s="1">
        <v>15</v>
      </c>
      <c r="N18" s="1">
        <v>9</v>
      </c>
      <c r="O18" s="1">
        <v>1</v>
      </c>
    </row>
    <row r="19" spans="3:15" x14ac:dyDescent="0.3">
      <c r="C19" s="1">
        <v>11</v>
      </c>
      <c r="D19" s="1">
        <v>10</v>
      </c>
      <c r="E19" s="1">
        <v>55</v>
      </c>
      <c r="H19" s="1">
        <v>6</v>
      </c>
      <c r="I19" s="1">
        <v>24</v>
      </c>
      <c r="J19" s="1">
        <v>16</v>
      </c>
      <c r="M19" s="1">
        <v>5</v>
      </c>
      <c r="N19" s="1">
        <v>-14</v>
      </c>
      <c r="O19" s="1">
        <v>39</v>
      </c>
    </row>
    <row r="24" spans="3:15" x14ac:dyDescent="0.3">
      <c r="I24" s="2" t="s">
        <v>6</v>
      </c>
      <c r="J24" s="2"/>
      <c r="K24" s="2"/>
      <c r="L24" s="2"/>
      <c r="M24" s="2"/>
    </row>
    <row r="27" spans="3:15" x14ac:dyDescent="0.3">
      <c r="C27" s="9" t="s">
        <v>1</v>
      </c>
      <c r="D27" s="10"/>
      <c r="E27" s="11"/>
      <c r="H27" s="9" t="s">
        <v>0</v>
      </c>
      <c r="I27" s="10"/>
      <c r="J27" s="11"/>
      <c r="M27" s="9" t="s">
        <v>6</v>
      </c>
      <c r="N27" s="10"/>
      <c r="O27" s="11"/>
    </row>
    <row r="28" spans="3:15" x14ac:dyDescent="0.3">
      <c r="C28" s="1">
        <v>15</v>
      </c>
      <c r="D28" s="1">
        <v>16</v>
      </c>
      <c r="E28" s="1">
        <v>17</v>
      </c>
      <c r="H28" s="1">
        <v>15</v>
      </c>
      <c r="I28" s="1">
        <v>2</v>
      </c>
      <c r="J28" s="1">
        <v>36</v>
      </c>
      <c r="M28" s="1">
        <f t="array" ref="M28:O30">MMULT(C28:E30,H28:J30)</f>
        <v>375</v>
      </c>
      <c r="N28" s="1">
        <v>822</v>
      </c>
      <c r="O28" s="1">
        <v>988</v>
      </c>
    </row>
    <row r="29" spans="3:15" x14ac:dyDescent="0.3">
      <c r="C29" s="1">
        <v>18</v>
      </c>
      <c r="D29" s="1">
        <v>33</v>
      </c>
      <c r="E29" s="1">
        <v>12</v>
      </c>
      <c r="H29" s="1">
        <v>3</v>
      </c>
      <c r="I29" s="1">
        <v>24</v>
      </c>
      <c r="J29" s="1">
        <v>11</v>
      </c>
      <c r="M29" s="1">
        <v>441</v>
      </c>
      <c r="N29" s="1">
        <v>1116</v>
      </c>
      <c r="O29" s="1">
        <v>1203</v>
      </c>
    </row>
    <row r="30" spans="3:15" x14ac:dyDescent="0.3">
      <c r="C30" s="1">
        <v>11</v>
      </c>
      <c r="D30" s="1">
        <v>10</v>
      </c>
      <c r="E30" s="1">
        <v>55</v>
      </c>
      <c r="H30" s="1">
        <v>6</v>
      </c>
      <c r="I30" s="1">
        <v>24</v>
      </c>
      <c r="J30" s="1">
        <v>16</v>
      </c>
      <c r="M30" s="1">
        <v>525</v>
      </c>
      <c r="N30" s="1">
        <v>1582</v>
      </c>
      <c r="O30" s="1">
        <v>1386</v>
      </c>
    </row>
    <row r="33" spans="3:15" x14ac:dyDescent="0.3">
      <c r="H33" s="8" t="s">
        <v>8</v>
      </c>
      <c r="I33" s="8"/>
      <c r="J33" s="8"/>
      <c r="K33" s="8"/>
    </row>
    <row r="36" spans="3:15" x14ac:dyDescent="0.3">
      <c r="C36" s="9" t="s">
        <v>1</v>
      </c>
      <c r="D36" s="10"/>
      <c r="E36" s="11"/>
      <c r="H36" s="9" t="s">
        <v>0</v>
      </c>
      <c r="I36" s="10"/>
      <c r="J36" s="11"/>
      <c r="M36" s="7" t="s">
        <v>9</v>
      </c>
      <c r="N36" s="7"/>
      <c r="O36" s="7"/>
    </row>
    <row r="37" spans="3:15" x14ac:dyDescent="0.3">
      <c r="C37" s="1">
        <v>15</v>
      </c>
      <c r="D37" s="1">
        <v>16</v>
      </c>
      <c r="E37" s="1">
        <v>17</v>
      </c>
      <c r="H37" s="1">
        <v>15</v>
      </c>
      <c r="I37" s="1">
        <v>2</v>
      </c>
      <c r="J37" s="1">
        <v>36</v>
      </c>
      <c r="M37" s="1">
        <f t="array" ref="M37:O39">(C37:E39/H37:J39)</f>
        <v>1</v>
      </c>
      <c r="N37" s="1">
        <v>8</v>
      </c>
      <c r="O37" s="1">
        <v>0.47222222222222221</v>
      </c>
    </row>
    <row r="38" spans="3:15" x14ac:dyDescent="0.3">
      <c r="C38" s="1">
        <v>18</v>
      </c>
      <c r="D38" s="1">
        <v>33</v>
      </c>
      <c r="E38" s="1">
        <v>12</v>
      </c>
      <c r="H38" s="1">
        <v>3</v>
      </c>
      <c r="I38" s="1">
        <v>24</v>
      </c>
      <c r="J38" s="1">
        <v>11</v>
      </c>
      <c r="M38" s="1">
        <v>6</v>
      </c>
      <c r="N38" s="1">
        <v>1.375</v>
      </c>
      <c r="O38" s="1">
        <v>1.0909090909090908</v>
      </c>
    </row>
    <row r="39" spans="3:15" x14ac:dyDescent="0.3">
      <c r="C39" s="1">
        <v>11</v>
      </c>
      <c r="D39" s="1">
        <v>10</v>
      </c>
      <c r="E39" s="1">
        <v>55</v>
      </c>
      <c r="H39" s="1">
        <v>6</v>
      </c>
      <c r="I39" s="1">
        <v>24</v>
      </c>
      <c r="J39" s="1">
        <v>16</v>
      </c>
      <c r="M39" s="1">
        <v>1.8333333333333333</v>
      </c>
      <c r="N39" s="1">
        <v>0.41666666666666669</v>
      </c>
      <c r="O39" s="1">
        <v>3.4375</v>
      </c>
    </row>
    <row r="42" spans="3:15" x14ac:dyDescent="0.3">
      <c r="H42" s="8" t="s">
        <v>7</v>
      </c>
      <c r="I42" s="8"/>
      <c r="J42" s="8"/>
      <c r="K42" s="2"/>
      <c r="L42" s="2"/>
    </row>
    <row r="44" spans="3:15" x14ac:dyDescent="0.3">
      <c r="C44" s="9" t="s">
        <v>1</v>
      </c>
      <c r="D44" s="10"/>
      <c r="E44" s="11"/>
      <c r="H44" s="9" t="s">
        <v>0</v>
      </c>
      <c r="I44" s="10"/>
      <c r="J44" s="11"/>
      <c r="M44" s="7" t="s">
        <v>7</v>
      </c>
      <c r="N44" s="7"/>
      <c r="O44" s="7"/>
    </row>
    <row r="45" spans="3:15" x14ac:dyDescent="0.3">
      <c r="C45" s="1">
        <v>15</v>
      </c>
      <c r="D45" s="1">
        <v>16</v>
      </c>
      <c r="E45" s="1">
        <v>17</v>
      </c>
      <c r="H45" s="1">
        <v>15</v>
      </c>
      <c r="I45" s="1">
        <v>2</v>
      </c>
      <c r="J45" s="1">
        <v>36</v>
      </c>
      <c r="M45" s="1">
        <f t="array" ref="M45:O47">TRANSPOSE(C45:E47)</f>
        <v>15</v>
      </c>
      <c r="N45" s="1">
        <v>18</v>
      </c>
      <c r="O45" s="1">
        <v>11</v>
      </c>
    </row>
    <row r="46" spans="3:15" x14ac:dyDescent="0.3">
      <c r="C46" s="1">
        <v>18</v>
      </c>
      <c r="D46" s="1">
        <v>33</v>
      </c>
      <c r="E46" s="1">
        <v>12</v>
      </c>
      <c r="H46" s="1">
        <v>3</v>
      </c>
      <c r="I46" s="1">
        <v>24</v>
      </c>
      <c r="J46" s="1">
        <v>11</v>
      </c>
      <c r="M46" s="1">
        <v>16</v>
      </c>
      <c r="N46" s="1">
        <v>33</v>
      </c>
      <c r="O46" s="1">
        <v>10</v>
      </c>
    </row>
    <row r="47" spans="3:15" x14ac:dyDescent="0.3">
      <c r="C47" s="1">
        <v>11</v>
      </c>
      <c r="D47" s="1">
        <v>10</v>
      </c>
      <c r="E47" s="1">
        <v>55</v>
      </c>
      <c r="H47" s="1">
        <v>6</v>
      </c>
      <c r="I47" s="1">
        <v>24</v>
      </c>
      <c r="J47" s="1">
        <v>16</v>
      </c>
      <c r="M47" s="1">
        <v>17</v>
      </c>
      <c r="N47" s="1">
        <v>12</v>
      </c>
      <c r="O47" s="1">
        <v>55</v>
      </c>
    </row>
    <row r="52" spans="3:11" x14ac:dyDescent="0.3">
      <c r="I52" s="13" t="s">
        <v>10</v>
      </c>
      <c r="J52" s="13"/>
      <c r="K52" s="13"/>
    </row>
    <row r="53" spans="3:11" x14ac:dyDescent="0.3">
      <c r="C53" s="9" t="s">
        <v>1</v>
      </c>
      <c r="D53" s="10"/>
      <c r="E53" s="11"/>
      <c r="I53" s="1">
        <f>MDETERM(C54:E56)</f>
        <v>8585.9999999999982</v>
      </c>
      <c r="J53" s="1"/>
      <c r="K53" s="1"/>
    </row>
    <row r="54" spans="3:11" x14ac:dyDescent="0.3">
      <c r="C54" s="1">
        <v>15</v>
      </c>
      <c r="D54" s="1">
        <v>16</v>
      </c>
      <c r="E54" s="1">
        <v>17</v>
      </c>
    </row>
    <row r="55" spans="3:11" x14ac:dyDescent="0.3">
      <c r="C55" s="1">
        <v>18</v>
      </c>
      <c r="D55" s="1">
        <v>33</v>
      </c>
      <c r="E55" s="1">
        <v>12</v>
      </c>
    </row>
    <row r="56" spans="3:11" x14ac:dyDescent="0.3">
      <c r="C56" s="1">
        <v>11</v>
      </c>
      <c r="D56" s="1">
        <v>10</v>
      </c>
      <c r="E56" s="1">
        <v>55</v>
      </c>
    </row>
    <row r="63" spans="3:11" x14ac:dyDescent="0.3">
      <c r="C63" s="9" t="s">
        <v>1</v>
      </c>
      <c r="D63" s="10"/>
      <c r="E63" s="11"/>
      <c r="H63" s="13" t="s">
        <v>11</v>
      </c>
      <c r="I63" s="13"/>
      <c r="J63" s="13"/>
    </row>
    <row r="64" spans="3:11" x14ac:dyDescent="0.3">
      <c r="C64" s="1">
        <v>15</v>
      </c>
      <c r="D64" s="1">
        <v>16</v>
      </c>
      <c r="E64" s="1">
        <v>17</v>
      </c>
      <c r="H64" s="3">
        <f t="array" ref="H64:J66">MINVERSE(C64:E66)</f>
        <v>-0.46551724137931</v>
      </c>
      <c r="I64" s="3">
        <v>1.1494252873563241E-2</v>
      </c>
      <c r="J64" s="3">
        <v>0.70689655172413757</v>
      </c>
    </row>
    <row r="65" spans="3:10" x14ac:dyDescent="0.3">
      <c r="C65" s="1">
        <v>18</v>
      </c>
      <c r="D65" s="1">
        <v>33</v>
      </c>
      <c r="E65" s="1">
        <v>12</v>
      </c>
      <c r="H65" s="3">
        <v>0.1264367816091953</v>
      </c>
      <c r="I65" s="3">
        <v>4.2145593869731796E-2</v>
      </c>
      <c r="J65" s="3">
        <v>-0.24137931034482749</v>
      </c>
    </row>
    <row r="66" spans="3:10" x14ac:dyDescent="0.3">
      <c r="C66" s="1">
        <v>11</v>
      </c>
      <c r="D66" s="1">
        <v>10</v>
      </c>
      <c r="E66" s="1">
        <v>11</v>
      </c>
      <c r="H66" s="3">
        <v>0.35057471264367801</v>
      </c>
      <c r="I66" s="3">
        <v>-4.9808429118773964E-2</v>
      </c>
      <c r="J66" s="3">
        <v>-0.39655172413793083</v>
      </c>
    </row>
  </sheetData>
  <mergeCells count="24">
    <mergeCell ref="Z3:AB3"/>
    <mergeCell ref="I52:K52"/>
    <mergeCell ref="C63:E63"/>
    <mergeCell ref="H63:J63"/>
    <mergeCell ref="C53:E53"/>
    <mergeCell ref="C36:E36"/>
    <mergeCell ref="H36:J36"/>
    <mergeCell ref="M36:O36"/>
    <mergeCell ref="H42:J42"/>
    <mergeCell ref="C44:E44"/>
    <mergeCell ref="H44:J44"/>
    <mergeCell ref="M44:O44"/>
    <mergeCell ref="C27:E27"/>
    <mergeCell ref="C16:E16"/>
    <mergeCell ref="H16:J16"/>
    <mergeCell ref="G13:L13"/>
    <mergeCell ref="C3:E3"/>
    <mergeCell ref="H3:J3"/>
    <mergeCell ref="M3:O3"/>
    <mergeCell ref="F1:L1"/>
    <mergeCell ref="H33:K33"/>
    <mergeCell ref="M16:O16"/>
    <mergeCell ref="M27:O27"/>
    <mergeCell ref="H27:J2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2E82-53FD-487E-B46B-9797F8863E4F}">
  <dimension ref="B3:K32"/>
  <sheetViews>
    <sheetView tabSelected="1" topLeftCell="A7" zoomScale="85" zoomScaleNormal="85" workbookViewId="0">
      <selection activeCell="H28" sqref="H28"/>
    </sheetView>
  </sheetViews>
  <sheetFormatPr defaultRowHeight="14.4" x14ac:dyDescent="0.3"/>
  <cols>
    <col min="2" max="2" width="9.6640625" bestFit="1" customWidth="1"/>
    <col min="4" max="4" width="11" bestFit="1" customWidth="1"/>
    <col min="5" max="5" width="10.88671875" bestFit="1" customWidth="1"/>
    <col min="6" max="6" width="11.88671875" customWidth="1"/>
    <col min="8" max="8" width="13.6640625" bestFit="1" customWidth="1"/>
    <col min="9" max="9" width="12.6640625" bestFit="1" customWidth="1"/>
    <col min="10" max="11" width="10" bestFit="1" customWidth="1"/>
  </cols>
  <sheetData>
    <row r="3" spans="2:11" x14ac:dyDescent="0.3"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5" t="s">
        <v>20</v>
      </c>
      <c r="K3" s="5" t="s">
        <v>21</v>
      </c>
    </row>
    <row r="4" spans="2:11" x14ac:dyDescent="0.3">
      <c r="B4" s="1" t="s">
        <v>22</v>
      </c>
      <c r="C4" s="6">
        <f>(0.5*300*200)</f>
        <v>30000</v>
      </c>
      <c r="D4" s="6">
        <f>300/3</f>
        <v>100</v>
      </c>
      <c r="E4" s="6">
        <f>200/3</f>
        <v>66.666666666666671</v>
      </c>
      <c r="F4" s="6">
        <f>C4*D4</f>
        <v>3000000</v>
      </c>
      <c r="G4" s="6">
        <f>C4*E4</f>
        <v>2000000.0000000002</v>
      </c>
      <c r="H4" s="6">
        <f t="shared" ref="H4:I6" si="0">F4*D4</f>
        <v>300000000</v>
      </c>
      <c r="I4" s="6">
        <f t="shared" si="0"/>
        <v>133333333.33333336</v>
      </c>
      <c r="J4" s="6">
        <f>(300*200^3)/36</f>
        <v>66666666.666666664</v>
      </c>
      <c r="K4" s="6">
        <f>(200*300^3)/36</f>
        <v>150000000</v>
      </c>
    </row>
    <row r="5" spans="2:11" x14ac:dyDescent="0.3">
      <c r="B5" s="1" t="s">
        <v>23</v>
      </c>
      <c r="C5" s="6">
        <v>42326</v>
      </c>
      <c r="D5" s="6">
        <v>450</v>
      </c>
      <c r="E5" s="6">
        <v>100</v>
      </c>
      <c r="F5" s="6">
        <f>C5*D5</f>
        <v>19046700</v>
      </c>
      <c r="G5" s="6">
        <f>C5*E5</f>
        <v>4232600</v>
      </c>
      <c r="H5" s="6">
        <f t="shared" si="0"/>
        <v>8571015000</v>
      </c>
      <c r="I5" s="6">
        <f t="shared" si="0"/>
        <v>423260000</v>
      </c>
      <c r="J5" s="6">
        <f>(300*200^3)/12</f>
        <v>200000000</v>
      </c>
      <c r="K5" s="6">
        <f>(200*300^3)/12</f>
        <v>450000000</v>
      </c>
    </row>
    <row r="6" spans="2:11" x14ac:dyDescent="0.3">
      <c r="B6" s="1" t="s">
        <v>24</v>
      </c>
      <c r="C6" s="6">
        <f>-3.142*75^2</f>
        <v>-17673.75</v>
      </c>
      <c r="D6" s="6">
        <v>450</v>
      </c>
      <c r="E6" s="6">
        <v>100</v>
      </c>
      <c r="F6" s="6">
        <f>C6*D6</f>
        <v>-7953187.5</v>
      </c>
      <c r="G6" s="6">
        <f>C6*E6</f>
        <v>-1767375</v>
      </c>
      <c r="H6" s="6">
        <f t="shared" si="0"/>
        <v>-3578934375</v>
      </c>
      <c r="I6" s="6">
        <f t="shared" si="0"/>
        <v>-176737500</v>
      </c>
      <c r="J6" s="6">
        <f>(3.142*75^4)/4</f>
        <v>24853710.9375</v>
      </c>
      <c r="K6" s="6">
        <f>(3.142*75^4)/4</f>
        <v>24853710.9375</v>
      </c>
    </row>
    <row r="7" spans="2:11" x14ac:dyDescent="0.3">
      <c r="C7" s="4">
        <f>SUM(C4:C5)</f>
        <v>72326</v>
      </c>
      <c r="F7" s="4">
        <f>F4+F5</f>
        <v>22046700</v>
      </c>
      <c r="G7" s="4">
        <f t="shared" ref="G7:K7" si="1">G4+G5</f>
        <v>6232600</v>
      </c>
      <c r="H7" s="4">
        <f t="shared" si="1"/>
        <v>8871015000</v>
      </c>
      <c r="I7" s="4">
        <f t="shared" si="1"/>
        <v>556593333.33333337</v>
      </c>
      <c r="J7" s="4">
        <f t="shared" si="1"/>
        <v>266666666.66666666</v>
      </c>
      <c r="K7" s="4">
        <f t="shared" si="1"/>
        <v>600000000</v>
      </c>
    </row>
    <row r="9" spans="2:11" x14ac:dyDescent="0.3">
      <c r="E9" s="4"/>
    </row>
    <row r="10" spans="2:11" x14ac:dyDescent="0.3">
      <c r="H10" s="12" t="s">
        <v>25</v>
      </c>
      <c r="I10" s="12"/>
    </row>
    <row r="12" spans="2:11" x14ac:dyDescent="0.3">
      <c r="C12" s="4">
        <f>C4+C5+C6</f>
        <v>54652.25</v>
      </c>
      <c r="H12" t="s">
        <v>26</v>
      </c>
      <c r="I12">
        <f>F7/C7</f>
        <v>304.82399137239719</v>
      </c>
    </row>
    <row r="13" spans="2:11" x14ac:dyDescent="0.3">
      <c r="H13" t="s">
        <v>27</v>
      </c>
      <c r="I13">
        <f>G7/C7</f>
        <v>86.173713464037831</v>
      </c>
    </row>
    <row r="15" spans="2:11" x14ac:dyDescent="0.3">
      <c r="H15" t="s">
        <v>28</v>
      </c>
      <c r="I15" s="4">
        <f>J7+I7</f>
        <v>823260000</v>
      </c>
    </row>
    <row r="16" spans="2:11" x14ac:dyDescent="0.3">
      <c r="H16" t="s">
        <v>29</v>
      </c>
      <c r="I16" s="4">
        <f>K7+H7</f>
        <v>9471015000</v>
      </c>
    </row>
    <row r="18" spans="2:11" x14ac:dyDescent="0.3">
      <c r="H18" t="s">
        <v>30</v>
      </c>
      <c r="I18">
        <f>I15-(C7*I13^2)</f>
        <v>286173713.46403778</v>
      </c>
    </row>
    <row r="19" spans="2:11" x14ac:dyDescent="0.3">
      <c r="H19" t="s">
        <v>31</v>
      </c>
      <c r="I19">
        <f>I16-(C7*I15^2)</f>
        <v>-4.9019454778188128E+22</v>
      </c>
    </row>
    <row r="27" spans="2:11" x14ac:dyDescent="0.3">
      <c r="B27" s="5" t="s">
        <v>12</v>
      </c>
      <c r="C27" s="5" t="s">
        <v>13</v>
      </c>
      <c r="D27" s="5" t="s">
        <v>14</v>
      </c>
      <c r="E27" s="5" t="s">
        <v>15</v>
      </c>
      <c r="F27" s="5" t="s">
        <v>16</v>
      </c>
      <c r="G27" s="5" t="s">
        <v>17</v>
      </c>
      <c r="H27" s="5" t="s">
        <v>18</v>
      </c>
      <c r="I27" s="5" t="s">
        <v>19</v>
      </c>
      <c r="J27" s="5" t="s">
        <v>20</v>
      </c>
      <c r="K27" s="5" t="s">
        <v>21</v>
      </c>
    </row>
    <row r="28" spans="2:11" x14ac:dyDescent="0.3">
      <c r="B28" t="s">
        <v>34</v>
      </c>
      <c r="C28">
        <f>100*30</f>
        <v>3000</v>
      </c>
      <c r="D28">
        <v>100</v>
      </c>
      <c r="E28">
        <v>15</v>
      </c>
      <c r="F28">
        <f>C28*D28</f>
        <v>300000</v>
      </c>
      <c r="G28">
        <f>C28*E28</f>
        <v>45000</v>
      </c>
    </row>
    <row r="29" spans="2:11" x14ac:dyDescent="0.3">
      <c r="B29" t="s">
        <v>35</v>
      </c>
      <c r="C29">
        <f>25*100</f>
        <v>2500</v>
      </c>
      <c r="D29">
        <v>100</v>
      </c>
      <c r="E29">
        <v>80</v>
      </c>
      <c r="F29">
        <f t="shared" ref="F29:F32" si="2">C29*D29</f>
        <v>250000</v>
      </c>
      <c r="G29">
        <f t="shared" ref="G29:G32" si="3">C29*E29</f>
        <v>200000</v>
      </c>
    </row>
    <row r="30" spans="2:11" x14ac:dyDescent="0.3">
      <c r="B30" t="s">
        <v>36</v>
      </c>
      <c r="C30">
        <f>20*200</f>
        <v>4000</v>
      </c>
      <c r="D30">
        <v>100</v>
      </c>
      <c r="E30">
        <v>140</v>
      </c>
      <c r="F30">
        <f t="shared" si="2"/>
        <v>400000</v>
      </c>
      <c r="G30">
        <f t="shared" si="3"/>
        <v>560000</v>
      </c>
    </row>
    <row r="31" spans="2:11" x14ac:dyDescent="0.3">
      <c r="B31" t="s">
        <v>37</v>
      </c>
      <c r="C31">
        <f>(175*20)/2</f>
        <v>1750</v>
      </c>
      <c r="D31">
        <f>(2*75)/3</f>
        <v>50</v>
      </c>
      <c r="E31">
        <f>110+20/3</f>
        <v>116.66666666666667</v>
      </c>
      <c r="F31">
        <f t="shared" si="2"/>
        <v>87500</v>
      </c>
      <c r="G31">
        <f t="shared" si="3"/>
        <v>204166.66666666669</v>
      </c>
    </row>
    <row r="32" spans="2:11" x14ac:dyDescent="0.3">
      <c r="B32" t="s">
        <v>38</v>
      </c>
      <c r="C32">
        <f>(175*20)/2</f>
        <v>1750</v>
      </c>
      <c r="D32">
        <f>(112.5)+87.5/3</f>
        <v>141.66666666666666</v>
      </c>
      <c r="E32">
        <f>110+20/3</f>
        <v>116.66666666666667</v>
      </c>
      <c r="F32">
        <f t="shared" si="2"/>
        <v>247916.66666666666</v>
      </c>
      <c r="G32">
        <f t="shared" si="3"/>
        <v>204166.66666666669</v>
      </c>
    </row>
  </sheetData>
  <mergeCells count="1">
    <mergeCell ref="H10:I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7CF84-5766-4158-8DBB-FA4D3CD8255E}">
  <dimension ref="A1:C1"/>
  <sheetViews>
    <sheetView workbookViewId="0">
      <selection activeCell="C1" sqref="C1"/>
    </sheetView>
  </sheetViews>
  <sheetFormatPr defaultRowHeight="14.4" x14ac:dyDescent="0.3"/>
  <sheetData>
    <row r="1" spans="1:3" x14ac:dyDescent="0.3">
      <c r="A1" t="s">
        <v>32</v>
      </c>
      <c r="B1" t="s">
        <v>26</v>
      </c>
      <c r="C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 </vt:lpstr>
      <vt:lpstr>25 sep cg &amp; mi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PREETHAM A K</cp:lastModifiedBy>
  <dcterms:created xsi:type="dcterms:W3CDTF">2015-06-05T18:17:20Z</dcterms:created>
  <dcterms:modified xsi:type="dcterms:W3CDTF">2025-12-10T17:31:58Z</dcterms:modified>
</cp:coreProperties>
</file>